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epkeskinli\Desktop\kitap 2025\3-ELEKTRİK ENERJİSİ ÜRETİMİ-TÜKETİMİ-KAYIPLAR\"/>
    </mc:Choice>
  </mc:AlternateContent>
  <bookViews>
    <workbookView xWindow="0" yWindow="0" windowWidth="28800" windowHeight="11340"/>
  </bookViews>
  <sheets>
    <sheet name="48" sheetId="1" r:id="rId1"/>
  </sheets>
  <definedNames>
    <definedName name="_xlnm.Print_Area" localSheetId="0">'48'!$B$2:$X$29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V25" i="1"/>
  <c r="N25" i="1"/>
  <c r="F25" i="1"/>
  <c r="W25" i="1" l="1"/>
  <c r="E13" i="1"/>
  <c r="F13" i="1" s="1"/>
  <c r="N13" i="1"/>
  <c r="V13" i="1"/>
  <c r="E14" i="1"/>
  <c r="F14" i="1"/>
  <c r="M14" i="1"/>
  <c r="N14" i="1" s="1"/>
  <c r="W14" i="1" s="1"/>
  <c r="V14" i="1"/>
  <c r="F15" i="1"/>
  <c r="W15" i="1" s="1"/>
  <c r="N15" i="1"/>
  <c r="V15" i="1"/>
  <c r="E16" i="1"/>
  <c r="F16" i="1"/>
  <c r="N16" i="1"/>
  <c r="V16" i="1"/>
  <c r="F17" i="1"/>
  <c r="G17" i="1" s="1"/>
  <c r="N17" i="1"/>
  <c r="V17" i="1"/>
  <c r="F18" i="1"/>
  <c r="N18" i="1"/>
  <c r="V18" i="1"/>
  <c r="F19" i="1"/>
  <c r="N19" i="1"/>
  <c r="V19" i="1"/>
  <c r="W19" i="1"/>
  <c r="F20" i="1"/>
  <c r="N20" i="1"/>
  <c r="V20" i="1"/>
  <c r="W20" i="1" s="1"/>
  <c r="X20" i="1" s="1"/>
  <c r="F21" i="1"/>
  <c r="W21" i="1" s="1"/>
  <c r="N21" i="1"/>
  <c r="V21" i="1"/>
  <c r="F22" i="1"/>
  <c r="N22" i="1"/>
  <c r="V22" i="1"/>
  <c r="W22" i="1"/>
  <c r="F23" i="1"/>
  <c r="G23" i="1"/>
  <c r="N23" i="1"/>
  <c r="V23" i="1"/>
  <c r="F24" i="1"/>
  <c r="N24" i="1"/>
  <c r="V24" i="1"/>
  <c r="F26" i="1"/>
  <c r="N26" i="1"/>
  <c r="V26" i="1"/>
  <c r="G21" i="1" l="1"/>
  <c r="W26" i="1"/>
  <c r="X26" i="1" s="1"/>
  <c r="G16" i="1"/>
  <c r="G15" i="1"/>
  <c r="G22" i="1"/>
  <c r="G20" i="1"/>
  <c r="G24" i="1"/>
  <c r="G25" i="1"/>
  <c r="W23" i="1"/>
  <c r="X23" i="1" s="1"/>
  <c r="G18" i="1"/>
  <c r="W17" i="1"/>
  <c r="W13" i="1"/>
  <c r="G14" i="1"/>
  <c r="X14" i="1"/>
  <c r="X21" i="1"/>
  <c r="X22" i="1"/>
  <c r="X15" i="1"/>
  <c r="W16" i="1"/>
  <c r="W24" i="1"/>
  <c r="X25" i="1" s="1"/>
  <c r="G19" i="1"/>
  <c r="W18" i="1"/>
  <c r="X17" i="1" l="1"/>
  <c r="X16" i="1"/>
  <c r="X18" i="1"/>
  <c r="X19" i="1"/>
  <c r="X24" i="1"/>
</calcChain>
</file>

<file path=xl/sharedStrings.xml><?xml version="1.0" encoding="utf-8"?>
<sst xmlns="http://schemas.openxmlformats.org/spreadsheetml/2006/main" count="72" uniqueCount="48">
  <si>
    <t>1)Gross Demand=Electricity Requirement=Apparent Consumption=Gross Generation+Import-Export</t>
  </si>
  <si>
    <t>1)Brüt Talep=Elektrik Gerekliliği=Görünen Tüketim=Brüt Üretim+İthalat-İhracat</t>
  </si>
  <si>
    <t>INCREASE %</t>
  </si>
  <si>
    <t xml:space="preserve">    GWh</t>
  </si>
  <si>
    <t>TOTAL</t>
  </si>
  <si>
    <t>GREECE</t>
  </si>
  <si>
    <t>SYRIA</t>
  </si>
  <si>
    <t>IRAQ</t>
  </si>
  <si>
    <t>IRAN</t>
  </si>
  <si>
    <t>AZERBAIJAN</t>
  </si>
  <si>
    <t>GEORGIA</t>
  </si>
  <si>
    <t>BULGARIA</t>
  </si>
  <si>
    <t>GEOTHERM.+WIND+SOLAR</t>
  </si>
  <si>
    <t>HYDRO</t>
  </si>
  <si>
    <t>THERMAL</t>
  </si>
  <si>
    <t>YEARS</t>
  </si>
  <si>
    <t>ARTIŞ %</t>
  </si>
  <si>
    <t xml:space="preserve"> </t>
  </si>
  <si>
    <t xml:space="preserve"> TOPLAM</t>
  </si>
  <si>
    <t>NİSTAN</t>
  </si>
  <si>
    <t>SURİYE</t>
  </si>
  <si>
    <t>IRAK</t>
  </si>
  <si>
    <t>(TÜRKMENİSTAN)</t>
  </si>
  <si>
    <t>(NAHÇIVAN)</t>
  </si>
  <si>
    <t>TAN</t>
  </si>
  <si>
    <t>RİSTAN</t>
  </si>
  <si>
    <t>TOPLAM</t>
  </si>
  <si>
    <t>JEOTER.+RÜZ+GÜN.</t>
  </si>
  <si>
    <t>HİDROLİK</t>
  </si>
  <si>
    <t>TERMİK</t>
  </si>
  <si>
    <t xml:space="preserve">  YILLAR</t>
  </si>
  <si>
    <t>YUNA-</t>
  </si>
  <si>
    <t>İRAN</t>
  </si>
  <si>
    <t>AZERBAYCAN</t>
  </si>
  <si>
    <t>GÜRCİS-</t>
  </si>
  <si>
    <t>BULGA-</t>
  </si>
  <si>
    <r>
      <t xml:space="preserve">GROSS DEMAND </t>
    </r>
    <r>
      <rPr>
        <i/>
        <vertAlign val="superscript"/>
        <sz val="10"/>
        <rFont val="Arial"/>
        <family val="2"/>
        <charset val="162"/>
      </rPr>
      <t>(1)</t>
    </r>
  </si>
  <si>
    <t xml:space="preserve">  NATIONAL GENERATION</t>
  </si>
  <si>
    <r>
      <t>BRÜT TALEP</t>
    </r>
    <r>
      <rPr>
        <b/>
        <vertAlign val="superscript"/>
        <sz val="12"/>
        <rFont val="Arial"/>
        <family val="2"/>
        <charset val="162"/>
      </rPr>
      <t>(1)</t>
    </r>
  </si>
  <si>
    <t xml:space="preserve">        E X P O R T S</t>
  </si>
  <si>
    <t xml:space="preserve">       İ H R A C A T </t>
  </si>
  <si>
    <t xml:space="preserve">             I M P O R T S</t>
  </si>
  <si>
    <t xml:space="preserve">       İ T H A L A T </t>
  </si>
  <si>
    <t xml:space="preserve">  ULUSAL ÜRETİM</t>
  </si>
  <si>
    <t xml:space="preserve">  Birim(Unit) : GWh  </t>
  </si>
  <si>
    <t>ANNUAL DEVELOPMENT OF TURKEY'S GROSS ELECTRICITY GENERATION-IMPORTS-EXPORTS AND  DEMAND</t>
  </si>
  <si>
    <t xml:space="preserve">    </t>
  </si>
  <si>
    <t>TÜRKİYE  BRÜT  ELEKTRİK  ENERJİSİ  ÜRETİM- İTHALAT- İHRACAT VE  TALEBİNİN  YILLAR  İTİBARİYLE  GELİŞİMİ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</si>
</sst>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\ "/>
  </numFmts>
  <fonts count="18">
    <font>
      <sz val="10"/>
      <name val="Geneva"/>
      <family val="2"/>
      <charset val="162"/>
    </font>
    <font>
      <sz val="10"/>
      <name val="Arial"/>
      <family val="2"/>
      <charset val="162"/>
    </font>
    <font>
      <sz val="14"/>
      <name val="Arial"/>
      <family val="2"/>
      <charset val="162"/>
    </font>
    <font>
      <b/>
      <sz val="14"/>
      <name val="Arial"/>
      <family val="2"/>
      <charset val="162"/>
    </font>
    <font>
      <b/>
      <i/>
      <sz val="14"/>
      <name val="Arial"/>
      <family val="2"/>
      <charset val="162"/>
    </font>
    <font>
      <sz val="16"/>
      <name val="Arial"/>
      <family val="2"/>
      <charset val="162"/>
    </font>
    <font>
      <b/>
      <sz val="16"/>
      <name val="Arial"/>
      <family val="2"/>
      <charset val="162"/>
    </font>
    <font>
      <i/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10"/>
      <name val="Arial"/>
      <family val="2"/>
      <charset val="162"/>
    </font>
    <font>
      <i/>
      <vertAlign val="superscript"/>
      <sz val="10"/>
      <name val="Arial"/>
      <family val="2"/>
      <charset val="162"/>
    </font>
    <font>
      <sz val="12"/>
      <name val="Arial"/>
      <family val="2"/>
      <charset val="162"/>
    </font>
    <font>
      <i/>
      <sz val="11"/>
      <name val="Arial"/>
      <family val="2"/>
      <charset val="162"/>
    </font>
    <font>
      <b/>
      <vertAlign val="superscript"/>
      <sz val="12"/>
      <name val="Arial"/>
      <family val="2"/>
      <charset val="162"/>
    </font>
    <font>
      <i/>
      <sz val="13"/>
      <name val="Arial"/>
      <family val="2"/>
      <charset val="162"/>
    </font>
    <font>
      <b/>
      <sz val="13"/>
      <name val="Arial"/>
      <family val="2"/>
      <charset val="162"/>
    </font>
    <font>
      <i/>
      <sz val="16"/>
      <name val="Arial"/>
      <family val="2"/>
      <charset val="162"/>
    </font>
    <font>
      <b/>
      <sz val="18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 applyBorder="1"/>
    <xf numFmtId="0" fontId="3" fillId="0" borderId="0" xfId="0" applyFont="1" applyBorder="1" applyAlignment="1">
      <alignment horizontal="center"/>
    </xf>
    <xf numFmtId="164" fontId="2" fillId="0" borderId="1" xfId="0" applyNumberFormat="1" applyFont="1" applyBorder="1"/>
    <xf numFmtId="0" fontId="4" fillId="0" borderId="0" xfId="0" applyFont="1" applyBorder="1" applyAlignment="1">
      <alignment horizontal="left"/>
    </xf>
    <xf numFmtId="164" fontId="2" fillId="0" borderId="0" xfId="0" applyNumberFormat="1" applyFo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Fill="1"/>
    <xf numFmtId="165" fontId="5" fillId="2" borderId="5" xfId="0" applyNumberFormat="1" applyFont="1" applyFill="1" applyBorder="1"/>
    <xf numFmtId="164" fontId="5" fillId="2" borderId="0" xfId="0" applyNumberFormat="1" applyFont="1" applyFill="1" applyBorder="1"/>
    <xf numFmtId="164" fontId="5" fillId="2" borderId="5" xfId="0" applyNumberFormat="1" applyFont="1" applyFill="1" applyBorder="1"/>
    <xf numFmtId="164" fontId="5" fillId="2" borderId="6" xfId="0" applyNumberFormat="1" applyFont="1" applyFill="1" applyBorder="1"/>
    <xf numFmtId="165" fontId="5" fillId="2" borderId="0" xfId="0" applyNumberFormat="1" applyFont="1" applyFill="1" applyBorder="1"/>
    <xf numFmtId="164" fontId="5" fillId="2" borderId="0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5" fontId="5" fillId="0" borderId="5" xfId="0" applyNumberFormat="1" applyFont="1" applyFill="1" applyBorder="1"/>
    <xf numFmtId="164" fontId="5" fillId="0" borderId="0" xfId="0" applyNumberFormat="1" applyFont="1" applyFill="1" applyBorder="1"/>
    <xf numFmtId="164" fontId="5" fillId="0" borderId="5" xfId="0" applyNumberFormat="1" applyFont="1" applyFill="1" applyBorder="1"/>
    <xf numFmtId="164" fontId="5" fillId="0" borderId="6" xfId="0" applyNumberFormat="1" applyFont="1" applyFill="1" applyBorder="1"/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164" fontId="5" fillId="2" borderId="1" xfId="0" applyNumberFormat="1" applyFont="1" applyFill="1" applyBorder="1"/>
    <xf numFmtId="164" fontId="5" fillId="2" borderId="7" xfId="0" applyNumberFormat="1" applyFont="1" applyFill="1" applyBorder="1"/>
    <xf numFmtId="165" fontId="5" fillId="3" borderId="5" xfId="0" applyNumberFormat="1" applyFont="1" applyFill="1" applyBorder="1"/>
    <xf numFmtId="164" fontId="5" fillId="3" borderId="1" xfId="0" applyNumberFormat="1" applyFont="1" applyFill="1" applyBorder="1"/>
    <xf numFmtId="164" fontId="5" fillId="3" borderId="0" xfId="0" applyNumberFormat="1" applyFont="1" applyFill="1" applyBorder="1"/>
    <xf numFmtId="165" fontId="5" fillId="3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1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/>
    <xf numFmtId="0" fontId="8" fillId="2" borderId="1" xfId="0" applyFont="1" applyFill="1" applyBorder="1" applyAlignment="1"/>
    <xf numFmtId="0" fontId="8" fillId="2" borderId="6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1" xfId="0" applyFont="1" applyFill="1" applyBorder="1"/>
    <xf numFmtId="0" fontId="8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8" fillId="2" borderId="6" xfId="0" applyFont="1" applyFill="1" applyBorder="1" applyAlignment="1"/>
    <xf numFmtId="0" fontId="11" fillId="2" borderId="0" xfId="0" applyFont="1" applyFill="1" applyBorder="1"/>
    <xf numFmtId="0" fontId="11" fillId="2" borderId="1" xfId="0" applyFont="1" applyFill="1" applyBorder="1"/>
    <xf numFmtId="0" fontId="11" fillId="2" borderId="7" xfId="0" applyFont="1" applyFill="1" applyBorder="1"/>
    <xf numFmtId="0" fontId="12" fillId="2" borderId="0" xfId="0" applyFont="1" applyFill="1" applyBorder="1" applyAlignment="1"/>
    <xf numFmtId="0" fontId="8" fillId="0" borderId="0" xfId="0" applyFont="1"/>
    <xf numFmtId="0" fontId="8" fillId="2" borderId="7" xfId="0" applyFont="1" applyFill="1" applyBorder="1"/>
    <xf numFmtId="0" fontId="14" fillId="2" borderId="0" xfId="0" applyFont="1" applyFill="1" applyBorder="1"/>
    <xf numFmtId="0" fontId="15" fillId="2" borderId="0" xfId="0" applyFont="1" applyFill="1" applyBorder="1" applyAlignment="1"/>
    <xf numFmtId="0" fontId="8" fillId="2" borderId="1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8" fillId="2" borderId="6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/>
    <xf numFmtId="0" fontId="8" fillId="0" borderId="0" xfId="0" applyFont="1" applyBorder="1"/>
    <xf numFmtId="0" fontId="3" fillId="0" borderId="0" xfId="0" applyFont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10" xfId="0" applyFont="1" applyFill="1" applyBorder="1"/>
    <xf numFmtId="0" fontId="3" fillId="4" borderId="12" xfId="0" applyFont="1" applyFill="1" applyBorder="1"/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/>
    <xf numFmtId="0" fontId="8" fillId="0" borderId="0" xfId="0" applyFont="1" applyAlignment="1">
      <alignment horizontal="center"/>
    </xf>
    <xf numFmtId="0" fontId="17" fillId="4" borderId="17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5" fillId="2" borderId="3" xfId="0" applyNumberFormat="1" applyFont="1" applyFill="1" applyBorder="1"/>
    <xf numFmtId="164" fontId="5" fillId="2" borderId="3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164" fontId="5" fillId="2" borderId="4" xfId="0" applyNumberFormat="1" applyFont="1" applyFill="1" applyBorder="1"/>
    <xf numFmtId="164" fontId="5" fillId="2" borderId="2" xfId="0" applyNumberFormat="1" applyFont="1" applyFill="1" applyBorder="1"/>
    <xf numFmtId="165" fontId="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showGridLines="0" tabSelected="1" zoomScale="50" zoomScaleNormal="50" zoomScaleSheetLayoutView="54" workbookViewId="0">
      <selection activeCell="P34" sqref="P34"/>
    </sheetView>
  </sheetViews>
  <sheetFormatPr defaultColWidth="11.42578125" defaultRowHeight="12.75"/>
  <cols>
    <col min="1" max="1" width="4.42578125" style="1" customWidth="1"/>
    <col min="2" max="2" width="13.140625" style="2" customWidth="1"/>
    <col min="3" max="3" width="16.28515625" style="2" customWidth="1"/>
    <col min="4" max="4" width="16.28515625" style="1" customWidth="1"/>
    <col min="5" max="5" width="24.5703125" style="2" customWidth="1"/>
    <col min="6" max="6" width="16.28515625" style="1" customWidth="1"/>
    <col min="7" max="7" width="13.140625" style="1" customWidth="1"/>
    <col min="8" max="8" width="13.42578125" style="1" customWidth="1"/>
    <col min="9" max="9" width="10.5703125" style="1" customWidth="1"/>
    <col min="10" max="10" width="17.28515625" style="1" customWidth="1"/>
    <col min="11" max="12" width="12.42578125" style="1" customWidth="1"/>
    <col min="13" max="13" width="22.28515625" style="1" customWidth="1"/>
    <col min="14" max="14" width="16.28515625" style="1" customWidth="1"/>
    <col min="15" max="15" width="13.140625" style="1" customWidth="1"/>
    <col min="16" max="16" width="12.7109375" style="1" customWidth="1"/>
    <col min="17" max="17" width="16.28515625" style="1" customWidth="1"/>
    <col min="18" max="18" width="21.42578125" style="1" customWidth="1"/>
    <col min="19" max="19" width="12.7109375" style="1" customWidth="1"/>
    <col min="20" max="20" width="12.28515625" style="1" customWidth="1"/>
    <col min="21" max="21" width="13.140625" style="1" customWidth="1"/>
    <col min="22" max="22" width="16.28515625" style="1" customWidth="1"/>
    <col min="23" max="23" width="17" style="1" customWidth="1"/>
    <col min="24" max="24" width="15.7109375" style="1" customWidth="1"/>
    <col min="25" max="35" width="11.42578125" style="1"/>
    <col min="36" max="36" width="14.140625" style="1" bestFit="1" customWidth="1"/>
    <col min="37" max="16384" width="11.42578125" style="1"/>
  </cols>
  <sheetData>
    <row r="1" spans="1:25" ht="15.75">
      <c r="A1" s="55"/>
      <c r="B1" s="55"/>
      <c r="C1" s="55"/>
      <c r="D1" s="55"/>
      <c r="E1" s="78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68"/>
      <c r="Y1" s="68"/>
    </row>
    <row r="2" spans="1:25" ht="18">
      <c r="A2" s="55"/>
      <c r="B2" s="77"/>
      <c r="C2" s="75"/>
      <c r="D2" s="75"/>
      <c r="E2" s="76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4"/>
      <c r="Y2" s="68"/>
    </row>
    <row r="3" spans="1:25" ht="23.25">
      <c r="A3" s="55"/>
      <c r="B3" s="79" t="s">
        <v>47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68"/>
    </row>
    <row r="4" spans="1:25" ht="20.25">
      <c r="A4" s="55" t="s">
        <v>46</v>
      </c>
      <c r="B4" s="82" t="s">
        <v>45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68"/>
    </row>
    <row r="5" spans="1:25" ht="18">
      <c r="A5" s="55"/>
      <c r="B5" s="73"/>
      <c r="C5" s="71"/>
      <c r="D5" s="71"/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0"/>
      <c r="Y5" s="68"/>
    </row>
    <row r="6" spans="1:25" ht="18">
      <c r="A6" s="68"/>
      <c r="B6" s="69"/>
      <c r="C6" s="69"/>
      <c r="D6" s="69"/>
      <c r="E6" s="4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85" t="s">
        <v>44</v>
      </c>
      <c r="X6" s="85"/>
      <c r="Y6" s="68"/>
    </row>
    <row r="7" spans="1:25" ht="21" customHeight="1">
      <c r="A7" s="55"/>
      <c r="B7" s="67"/>
      <c r="C7" s="65"/>
      <c r="D7" s="65"/>
      <c r="E7" s="66"/>
      <c r="F7" s="65"/>
      <c r="G7" s="65"/>
      <c r="H7" s="64"/>
      <c r="I7" s="65"/>
      <c r="J7" s="65"/>
      <c r="K7" s="65"/>
      <c r="L7" s="65"/>
      <c r="M7" s="65"/>
      <c r="N7" s="65"/>
      <c r="O7" s="64"/>
      <c r="P7" s="65"/>
      <c r="Q7" s="65"/>
      <c r="R7" s="65"/>
      <c r="S7" s="65"/>
      <c r="T7" s="65"/>
      <c r="U7" s="65"/>
      <c r="V7" s="65"/>
      <c r="W7" s="64"/>
      <c r="X7" s="63"/>
      <c r="Y7" s="55"/>
    </row>
    <row r="8" spans="1:25" ht="21" customHeight="1">
      <c r="A8" s="55"/>
      <c r="B8" s="62"/>
      <c r="C8" s="47"/>
      <c r="D8" s="61" t="s">
        <v>43</v>
      </c>
      <c r="E8" s="60"/>
      <c r="F8" s="51"/>
      <c r="G8" s="56"/>
      <c r="H8" s="58" t="s">
        <v>42</v>
      </c>
      <c r="I8" s="58"/>
      <c r="J8" s="48"/>
      <c r="K8" s="47"/>
      <c r="L8" s="47"/>
      <c r="M8" s="57" t="s">
        <v>41</v>
      </c>
      <c r="N8" s="47"/>
      <c r="O8" s="59"/>
      <c r="P8" s="58" t="s">
        <v>40</v>
      </c>
      <c r="Q8" s="57"/>
      <c r="R8" s="57"/>
      <c r="S8" s="47"/>
      <c r="T8" s="47"/>
      <c r="U8" s="57" t="s">
        <v>39</v>
      </c>
      <c r="V8" s="56"/>
      <c r="W8" s="86" t="s">
        <v>38</v>
      </c>
      <c r="X8" s="87"/>
      <c r="Y8" s="55"/>
    </row>
    <row r="9" spans="1:25" ht="21" customHeight="1">
      <c r="B9" s="50" t="s">
        <v>17</v>
      </c>
      <c r="C9" s="42" t="s">
        <v>17</v>
      </c>
      <c r="D9" s="54" t="s">
        <v>37</v>
      </c>
      <c r="E9" s="36"/>
      <c r="F9" s="51"/>
      <c r="G9" s="53"/>
      <c r="H9" s="51"/>
      <c r="I9" s="51"/>
      <c r="J9" s="51"/>
      <c r="K9" s="51"/>
      <c r="L9" s="51"/>
      <c r="M9" s="48"/>
      <c r="N9" s="42"/>
      <c r="O9" s="52"/>
      <c r="P9" s="48"/>
      <c r="Q9" s="51"/>
      <c r="R9" s="51"/>
      <c r="S9" s="51"/>
      <c r="T9" s="51"/>
      <c r="U9" s="51"/>
      <c r="V9" s="42"/>
      <c r="W9" s="88" t="s">
        <v>36</v>
      </c>
      <c r="X9" s="89"/>
    </row>
    <row r="10" spans="1:25" ht="21" customHeight="1">
      <c r="B10" s="50"/>
      <c r="C10" s="42"/>
      <c r="D10" s="48"/>
      <c r="E10" s="49"/>
      <c r="F10" s="48"/>
      <c r="G10" s="41"/>
      <c r="H10" s="43" t="s">
        <v>35</v>
      </c>
      <c r="I10" s="42" t="s">
        <v>31</v>
      </c>
      <c r="J10" s="47" t="s">
        <v>33</v>
      </c>
      <c r="K10" s="42" t="s">
        <v>34</v>
      </c>
      <c r="L10" s="42"/>
      <c r="M10" s="41" t="s">
        <v>32</v>
      </c>
      <c r="N10" s="42"/>
      <c r="O10" s="43" t="s">
        <v>35</v>
      </c>
      <c r="P10" s="42" t="s">
        <v>34</v>
      </c>
      <c r="Q10" s="47" t="s">
        <v>33</v>
      </c>
      <c r="R10" s="41" t="s">
        <v>32</v>
      </c>
      <c r="S10" s="47"/>
      <c r="T10" s="47"/>
      <c r="U10" s="42" t="s">
        <v>31</v>
      </c>
      <c r="V10" s="42"/>
      <c r="W10" s="46"/>
      <c r="X10" s="45"/>
    </row>
    <row r="11" spans="1:25" s="2" customFormat="1" ht="21" customHeight="1">
      <c r="B11" s="44" t="s">
        <v>30</v>
      </c>
      <c r="C11" s="41" t="s">
        <v>29</v>
      </c>
      <c r="D11" s="41" t="s">
        <v>28</v>
      </c>
      <c r="E11" s="41" t="s">
        <v>27</v>
      </c>
      <c r="F11" s="41" t="s">
        <v>26</v>
      </c>
      <c r="G11" s="41" t="s">
        <v>16</v>
      </c>
      <c r="H11" s="43" t="s">
        <v>25</v>
      </c>
      <c r="I11" s="42" t="s">
        <v>19</v>
      </c>
      <c r="J11" s="41" t="s">
        <v>23</v>
      </c>
      <c r="K11" s="42" t="s">
        <v>24</v>
      </c>
      <c r="L11" s="41" t="s">
        <v>20</v>
      </c>
      <c r="M11" s="42" t="s">
        <v>22</v>
      </c>
      <c r="N11" s="41" t="s">
        <v>26</v>
      </c>
      <c r="O11" s="43" t="s">
        <v>25</v>
      </c>
      <c r="P11" s="42" t="s">
        <v>24</v>
      </c>
      <c r="Q11" s="41" t="s">
        <v>23</v>
      </c>
      <c r="R11" s="42" t="s">
        <v>22</v>
      </c>
      <c r="S11" s="41" t="s">
        <v>21</v>
      </c>
      <c r="T11" s="41" t="s">
        <v>20</v>
      </c>
      <c r="U11" s="42" t="s">
        <v>19</v>
      </c>
      <c r="V11" s="41" t="s">
        <v>18</v>
      </c>
      <c r="W11" s="40" t="s">
        <v>17</v>
      </c>
      <c r="X11" s="39" t="s">
        <v>16</v>
      </c>
    </row>
    <row r="12" spans="1:25" s="33" customFormat="1" ht="21" customHeight="1">
      <c r="B12" s="38" t="s">
        <v>15</v>
      </c>
      <c r="C12" s="36" t="s">
        <v>14</v>
      </c>
      <c r="D12" s="36" t="s">
        <v>13</v>
      </c>
      <c r="E12" s="36" t="s">
        <v>12</v>
      </c>
      <c r="F12" s="36" t="s">
        <v>4</v>
      </c>
      <c r="G12" s="36" t="s">
        <v>2</v>
      </c>
      <c r="H12" s="37" t="s">
        <v>11</v>
      </c>
      <c r="I12" s="36" t="s">
        <v>5</v>
      </c>
      <c r="J12" s="36" t="s">
        <v>9</v>
      </c>
      <c r="K12" s="36" t="s">
        <v>10</v>
      </c>
      <c r="L12" s="36" t="s">
        <v>6</v>
      </c>
      <c r="M12" s="36" t="s">
        <v>8</v>
      </c>
      <c r="N12" s="36" t="s">
        <v>4</v>
      </c>
      <c r="O12" s="37" t="s">
        <v>11</v>
      </c>
      <c r="P12" s="36" t="s">
        <v>10</v>
      </c>
      <c r="Q12" s="36" t="s">
        <v>9</v>
      </c>
      <c r="R12" s="36" t="s">
        <v>8</v>
      </c>
      <c r="S12" s="36" t="s">
        <v>7</v>
      </c>
      <c r="T12" s="36" t="s">
        <v>6</v>
      </c>
      <c r="U12" s="36" t="s">
        <v>5</v>
      </c>
      <c r="V12" s="36" t="s">
        <v>4</v>
      </c>
      <c r="W12" s="35" t="s">
        <v>3</v>
      </c>
      <c r="X12" s="34" t="s">
        <v>2</v>
      </c>
    </row>
    <row r="13" spans="1:25" ht="39.950000000000003" customHeight="1">
      <c r="B13" s="32">
        <v>2012</v>
      </c>
      <c r="C13" s="29">
        <v>174871.7</v>
      </c>
      <c r="D13" s="29">
        <v>57865</v>
      </c>
      <c r="E13" s="31">
        <f>5860.8+899.3</f>
        <v>6760.1</v>
      </c>
      <c r="F13" s="29">
        <f t="shared" ref="F13:F26" si="0">SUM(C13:E13)</f>
        <v>239496.80000000002</v>
      </c>
      <c r="G13" s="30">
        <v>4.4000000000000004</v>
      </c>
      <c r="H13" s="28">
        <v>3966.8</v>
      </c>
      <c r="I13" s="29">
        <v>3.7</v>
      </c>
      <c r="J13" s="29">
        <v>277.39999999999998</v>
      </c>
      <c r="K13" s="29">
        <v>79</v>
      </c>
      <c r="L13" s="29"/>
      <c r="M13" s="29">
        <v>1499.8</v>
      </c>
      <c r="N13" s="29">
        <f>+H13+J13+K13+M13+I13</f>
        <v>5826.7</v>
      </c>
      <c r="O13" s="28">
        <v>1.7</v>
      </c>
      <c r="P13" s="29"/>
      <c r="Q13" s="29">
        <v>12.9</v>
      </c>
      <c r="R13" s="29"/>
      <c r="S13" s="29"/>
      <c r="T13" s="29">
        <v>1234.0999999999999</v>
      </c>
      <c r="U13" s="29">
        <v>1704.9</v>
      </c>
      <c r="V13" s="29">
        <f t="shared" ref="V13:V26" si="1">SUM(O13:U13)</f>
        <v>2953.6</v>
      </c>
      <c r="W13" s="28">
        <f t="shared" ref="W13:W26" si="2">+F13+N13-V13</f>
        <v>242369.90000000002</v>
      </c>
      <c r="X13" s="27">
        <v>5.2</v>
      </c>
    </row>
    <row r="14" spans="1:25" ht="39.950000000000003" customHeight="1">
      <c r="B14" s="17">
        <v>2013</v>
      </c>
      <c r="C14" s="12">
        <v>171812.45</v>
      </c>
      <c r="D14" s="12">
        <v>59420.5</v>
      </c>
      <c r="E14" s="16">
        <f>1363.5+7557.5</f>
        <v>8921</v>
      </c>
      <c r="F14" s="12">
        <f t="shared" si="0"/>
        <v>240153.95</v>
      </c>
      <c r="G14" s="15">
        <f t="shared" ref="G14:G24" si="3">+((F14/F13)-1)*100</f>
        <v>0.27438779975348382</v>
      </c>
      <c r="H14" s="25">
        <v>4571.2</v>
      </c>
      <c r="I14" s="12">
        <v>173.2</v>
      </c>
      <c r="J14" s="12">
        <v>276.7</v>
      </c>
      <c r="K14" s="12">
        <v>3.3</v>
      </c>
      <c r="L14" s="12"/>
      <c r="M14" s="12">
        <f>2139.8+265.2</f>
        <v>2405</v>
      </c>
      <c r="N14" s="12">
        <f>+H14+J14+K14+M14+I14</f>
        <v>7429.4</v>
      </c>
      <c r="O14" s="25">
        <v>0.16</v>
      </c>
      <c r="P14" s="12">
        <v>0.1</v>
      </c>
      <c r="Q14" s="12">
        <v>0.2</v>
      </c>
      <c r="R14" s="12"/>
      <c r="S14" s="12">
        <v>421.55</v>
      </c>
      <c r="T14" s="12">
        <v>0</v>
      </c>
      <c r="U14" s="12">
        <v>804.7</v>
      </c>
      <c r="V14" s="12">
        <f t="shared" si="1"/>
        <v>1226.71</v>
      </c>
      <c r="W14" s="25">
        <f t="shared" si="2"/>
        <v>246356.64</v>
      </c>
      <c r="X14" s="11">
        <f t="shared" ref="X14:X24" si="4">+((W14/W13)-1)*100</f>
        <v>1.6448989746663978</v>
      </c>
    </row>
    <row r="15" spans="1:25" ht="39.950000000000003" customHeight="1">
      <c r="B15" s="32">
        <v>2014</v>
      </c>
      <c r="C15" s="29">
        <v>200416.59899999999</v>
      </c>
      <c r="D15" s="29">
        <v>40644.699999999997</v>
      </c>
      <c r="E15" s="31">
        <v>10901.5</v>
      </c>
      <c r="F15" s="29">
        <f t="shared" si="0"/>
        <v>251962.799</v>
      </c>
      <c r="G15" s="30">
        <f t="shared" si="3"/>
        <v>4.9171995713582772</v>
      </c>
      <c r="H15" s="28">
        <v>5300.6989999999996</v>
      </c>
      <c r="I15" s="29">
        <v>4.048</v>
      </c>
      <c r="J15" s="29">
        <v>102.664</v>
      </c>
      <c r="K15" s="29">
        <v>293.88200000000001</v>
      </c>
      <c r="L15" s="29"/>
      <c r="M15" s="29">
        <v>2252.0439999999999</v>
      </c>
      <c r="N15" s="29">
        <f>+H15+J15+K15+M15+I15</f>
        <v>7953.3369999999986</v>
      </c>
      <c r="O15" s="28">
        <v>0.221</v>
      </c>
      <c r="P15" s="29">
        <v>0.9</v>
      </c>
      <c r="Q15" s="29">
        <v>0.08</v>
      </c>
      <c r="R15" s="29"/>
      <c r="S15" s="29">
        <v>785.40700000000004</v>
      </c>
      <c r="T15" s="29">
        <v>0</v>
      </c>
      <c r="U15" s="29">
        <v>1909.38</v>
      </c>
      <c r="V15" s="29">
        <f t="shared" si="1"/>
        <v>2695.9880000000003</v>
      </c>
      <c r="W15" s="28">
        <f t="shared" si="2"/>
        <v>257220.14799999999</v>
      </c>
      <c r="X15" s="27">
        <f t="shared" si="4"/>
        <v>4.4096672206602516</v>
      </c>
    </row>
    <row r="16" spans="1:25" ht="39.950000000000003" customHeight="1">
      <c r="B16" s="17">
        <v>2015</v>
      </c>
      <c r="C16" s="12">
        <v>179366.441207</v>
      </c>
      <c r="D16" s="12">
        <v>67145.827144399998</v>
      </c>
      <c r="E16" s="16">
        <f>3424.487747+11652.4872462+194.060202</f>
        <v>15271.035195200002</v>
      </c>
      <c r="F16" s="12">
        <f t="shared" si="0"/>
        <v>261783.30354659999</v>
      </c>
      <c r="G16" s="15">
        <f t="shared" si="3"/>
        <v>3.8976009893428643</v>
      </c>
      <c r="H16" s="25">
        <v>4841.9864699999998</v>
      </c>
      <c r="I16" s="12">
        <v>8.3667400000000001</v>
      </c>
      <c r="J16" s="12">
        <v>3.2799999999999999E-3</v>
      </c>
      <c r="K16" s="12">
        <v>417.45442200000002</v>
      </c>
      <c r="L16" s="12"/>
      <c r="M16" s="12">
        <v>1867.6953068999999</v>
      </c>
      <c r="N16" s="26">
        <f t="shared" ref="N16:N26" si="5">SUM(H16:M16)</f>
        <v>7135.5062189</v>
      </c>
      <c r="O16" s="25">
        <v>1.92998</v>
      </c>
      <c r="P16" s="12">
        <v>2.1510889999999998</v>
      </c>
      <c r="Q16" s="12">
        <v>2.1099999999999999E-3</v>
      </c>
      <c r="R16" s="12"/>
      <c r="S16" s="12">
        <v>371.75776000000002</v>
      </c>
      <c r="T16" s="12"/>
      <c r="U16" s="12">
        <v>2818.6149099999998</v>
      </c>
      <c r="V16" s="12">
        <f t="shared" si="1"/>
        <v>3194.4558489999999</v>
      </c>
      <c r="W16" s="25">
        <f t="shared" si="2"/>
        <v>265724.35391649994</v>
      </c>
      <c r="X16" s="11">
        <f t="shared" si="4"/>
        <v>3.3061974276213935</v>
      </c>
    </row>
    <row r="17" spans="2:37" ht="39.950000000000003" customHeight="1">
      <c r="B17" s="32">
        <v>2016</v>
      </c>
      <c r="C17" s="29">
        <v>185798.117014574</v>
      </c>
      <c r="D17" s="29">
        <v>67230.883210035201</v>
      </c>
      <c r="E17" s="31">
        <v>21378.748815180999</v>
      </c>
      <c r="F17" s="29">
        <f t="shared" si="0"/>
        <v>274407.74903979024</v>
      </c>
      <c r="G17" s="30">
        <f t="shared" si="3"/>
        <v>4.8224792498819502</v>
      </c>
      <c r="H17" s="28">
        <v>4586.9577600000002</v>
      </c>
      <c r="I17" s="29">
        <v>68.287859999999995</v>
      </c>
      <c r="J17" s="29">
        <v>0</v>
      </c>
      <c r="K17" s="29">
        <v>1039.2925250000001</v>
      </c>
      <c r="L17" s="29"/>
      <c r="M17" s="29">
        <v>635.79490266374205</v>
      </c>
      <c r="N17" s="29">
        <f t="shared" si="5"/>
        <v>6330.333047663742</v>
      </c>
      <c r="O17" s="28">
        <v>3.1491899999999999</v>
      </c>
      <c r="P17" s="29">
        <v>4.7100000000000001E-4</v>
      </c>
      <c r="Q17" s="29"/>
      <c r="R17" s="29"/>
      <c r="S17" s="29"/>
      <c r="T17" s="29">
        <v>4.2561520000000002</v>
      </c>
      <c r="U17" s="29">
        <v>1444.2907599999999</v>
      </c>
      <c r="V17" s="29">
        <f t="shared" si="1"/>
        <v>1451.6965729999999</v>
      </c>
      <c r="W17" s="28">
        <f t="shared" si="2"/>
        <v>279286.38551445398</v>
      </c>
      <c r="X17" s="27">
        <f t="shared" si="4"/>
        <v>5.1037969979280451</v>
      </c>
    </row>
    <row r="18" spans="2:37" ht="39.950000000000003" customHeight="1">
      <c r="B18" s="17">
        <v>2017</v>
      </c>
      <c r="C18" s="12">
        <v>212138.462684</v>
      </c>
      <c r="D18" s="12">
        <v>58218.462419000003</v>
      </c>
      <c r="E18" s="16">
        <v>26920.598753999999</v>
      </c>
      <c r="F18" s="12">
        <f t="shared" si="0"/>
        <v>297277.52385699999</v>
      </c>
      <c r="G18" s="15">
        <f t="shared" si="3"/>
        <v>8.3342306830750381</v>
      </c>
      <c r="H18" s="25">
        <v>2072.99289</v>
      </c>
      <c r="I18" s="12">
        <v>0.47889999999999999</v>
      </c>
      <c r="J18" s="12"/>
      <c r="K18" s="12">
        <v>493.94785000000002</v>
      </c>
      <c r="L18" s="12"/>
      <c r="M18" s="12">
        <v>160.84858750000001</v>
      </c>
      <c r="N18" s="12">
        <f t="shared" si="5"/>
        <v>2728.2682275000002</v>
      </c>
      <c r="O18" s="25">
        <v>98.005219999999994</v>
      </c>
      <c r="P18" s="12">
        <v>0.758884</v>
      </c>
      <c r="Q18" s="12"/>
      <c r="R18" s="12"/>
      <c r="S18" s="12"/>
      <c r="T18" s="12"/>
      <c r="U18" s="12">
        <v>3204.90931</v>
      </c>
      <c r="V18" s="26">
        <f t="shared" si="1"/>
        <v>3303.6734139999999</v>
      </c>
      <c r="W18" s="25">
        <f t="shared" si="2"/>
        <v>296702.1186705</v>
      </c>
      <c r="X18" s="11">
        <f t="shared" si="4"/>
        <v>6.2357973962696711</v>
      </c>
    </row>
    <row r="19" spans="2:37" s="10" customFormat="1" ht="39.950000000000003" customHeight="1">
      <c r="B19" s="24">
        <v>2018</v>
      </c>
      <c r="C19" s="19">
        <v>209683.47899999999</v>
      </c>
      <c r="D19" s="19">
        <v>59938.425999999999</v>
      </c>
      <c r="E19" s="23">
        <v>35179.978999999999</v>
      </c>
      <c r="F19" s="19">
        <f t="shared" si="0"/>
        <v>304801.88399999996</v>
      </c>
      <c r="G19" s="22">
        <f t="shared" si="3"/>
        <v>2.5310894834482678</v>
      </c>
      <c r="H19" s="21">
        <v>2051.2833799999999</v>
      </c>
      <c r="I19" s="19">
        <v>10.676110000000001</v>
      </c>
      <c r="J19" s="19"/>
      <c r="K19" s="19">
        <v>414.92786899999999</v>
      </c>
      <c r="L19" s="19"/>
      <c r="M19" s="19"/>
      <c r="N19" s="20">
        <f t="shared" si="5"/>
        <v>2476.8873589999998</v>
      </c>
      <c r="O19" s="19">
        <v>89.564820000000012</v>
      </c>
      <c r="P19" s="19">
        <v>105.92717399999999</v>
      </c>
      <c r="Q19" s="19"/>
      <c r="R19" s="19"/>
      <c r="S19" s="19"/>
      <c r="T19" s="19">
        <v>4.4168919999999998</v>
      </c>
      <c r="U19" s="19">
        <v>2911.9685299999996</v>
      </c>
      <c r="V19" s="19">
        <f t="shared" si="1"/>
        <v>3111.8774159999998</v>
      </c>
      <c r="W19" s="21">
        <f t="shared" si="2"/>
        <v>304166.89394299994</v>
      </c>
      <c r="X19" s="18">
        <f t="shared" si="4"/>
        <v>2.5159157291997358</v>
      </c>
      <c r="AB19" s="1"/>
      <c r="AI19" s="1"/>
      <c r="AK19" s="1"/>
    </row>
    <row r="20" spans="2:37" s="10" customFormat="1" ht="39.950000000000003" customHeight="1">
      <c r="B20" s="17">
        <v>2019</v>
      </c>
      <c r="C20" s="12">
        <v>175142.50380683586</v>
      </c>
      <c r="D20" s="12">
        <v>88822.775601959991</v>
      </c>
      <c r="E20" s="16">
        <v>39932.281015846616</v>
      </c>
      <c r="F20" s="12">
        <f t="shared" si="0"/>
        <v>303897.56042464252</v>
      </c>
      <c r="G20" s="15">
        <f t="shared" si="3"/>
        <v>-0.29669225251818254</v>
      </c>
      <c r="H20" s="14">
        <v>1960.6</v>
      </c>
      <c r="I20" s="12">
        <v>3.9</v>
      </c>
      <c r="J20" s="12"/>
      <c r="K20" s="12">
        <v>247</v>
      </c>
      <c r="L20" s="12"/>
      <c r="M20" s="12"/>
      <c r="N20" s="13">
        <f t="shared" si="5"/>
        <v>2211.5</v>
      </c>
      <c r="O20" s="12">
        <v>120.7</v>
      </c>
      <c r="P20" s="12">
        <v>0.2</v>
      </c>
      <c r="Q20" s="12"/>
      <c r="R20" s="12"/>
      <c r="S20" s="12"/>
      <c r="T20" s="12"/>
      <c r="U20" s="12">
        <v>2667.8</v>
      </c>
      <c r="V20" s="13">
        <f t="shared" si="1"/>
        <v>2788.7000000000003</v>
      </c>
      <c r="W20" s="12">
        <f t="shared" si="2"/>
        <v>303320.36042464251</v>
      </c>
      <c r="X20" s="11">
        <f t="shared" si="4"/>
        <v>-0.27831218163936189</v>
      </c>
      <c r="AB20" s="1"/>
      <c r="AI20" s="1"/>
      <c r="AK20" s="1"/>
    </row>
    <row r="21" spans="2:37" s="10" customFormat="1" ht="39.950000000000003" customHeight="1">
      <c r="B21" s="24">
        <v>2020</v>
      </c>
      <c r="C21" s="19">
        <v>182802.62484254889</v>
      </c>
      <c r="D21" s="19">
        <v>78094.368848523198</v>
      </c>
      <c r="E21" s="23">
        <v>45806.097999999998</v>
      </c>
      <c r="F21" s="19">
        <f t="shared" si="0"/>
        <v>306703.0916910721</v>
      </c>
      <c r="G21" s="22">
        <f t="shared" si="3"/>
        <v>0.92318321427435901</v>
      </c>
      <c r="H21" s="21">
        <v>1689.5004310000002</v>
      </c>
      <c r="I21" s="19">
        <v>30.133666999999992</v>
      </c>
      <c r="J21" s="19"/>
      <c r="K21" s="19">
        <v>169.886539</v>
      </c>
      <c r="L21" s="19"/>
      <c r="M21" s="19"/>
      <c r="N21" s="20">
        <f t="shared" si="5"/>
        <v>1889.5206370000003</v>
      </c>
      <c r="O21" s="19">
        <v>0</v>
      </c>
      <c r="P21" s="19">
        <v>314.962154</v>
      </c>
      <c r="Q21" s="19"/>
      <c r="R21" s="19"/>
      <c r="S21" s="19"/>
      <c r="T21" s="19">
        <v>327.57048399999996</v>
      </c>
      <c r="U21" s="19">
        <v>1841.1101039999999</v>
      </c>
      <c r="V21" s="20">
        <f t="shared" si="1"/>
        <v>2483.642742</v>
      </c>
      <c r="W21" s="19">
        <f t="shared" si="2"/>
        <v>306108.96958607208</v>
      </c>
      <c r="X21" s="18">
        <f t="shared" si="4"/>
        <v>0.91936102064680281</v>
      </c>
      <c r="AB21" s="1"/>
      <c r="AI21" s="1"/>
      <c r="AK21" s="1"/>
    </row>
    <row r="22" spans="2:37" s="10" customFormat="1" ht="39.950000000000003" customHeight="1">
      <c r="B22" s="17">
        <v>2021</v>
      </c>
      <c r="C22" s="12">
        <v>222623.46440972626</v>
      </c>
      <c r="D22" s="12">
        <v>55926.809375684359</v>
      </c>
      <c r="E22" s="16">
        <v>56172.838143288922</v>
      </c>
      <c r="F22" s="12">
        <f t="shared" si="0"/>
        <v>334723.11192869954</v>
      </c>
      <c r="G22" s="15">
        <f t="shared" si="3"/>
        <v>9.1358779864699535</v>
      </c>
      <c r="H22" s="14">
        <v>1059.2267550000001</v>
      </c>
      <c r="I22" s="12">
        <v>20.281175000000001</v>
      </c>
      <c r="J22" s="12"/>
      <c r="K22" s="12">
        <v>1254.945031</v>
      </c>
      <c r="L22" s="12"/>
      <c r="M22" s="12"/>
      <c r="N22" s="13">
        <f t="shared" si="5"/>
        <v>2334.452961</v>
      </c>
      <c r="O22" s="12">
        <v>260.23966099999996</v>
      </c>
      <c r="P22" s="12">
        <v>162.45210399999999</v>
      </c>
      <c r="Q22" s="12"/>
      <c r="R22" s="12"/>
      <c r="S22" s="12">
        <v>642.00960617894998</v>
      </c>
      <c r="T22" s="12">
        <v>209.45037192000001</v>
      </c>
      <c r="U22" s="12">
        <v>2912.2321689999999</v>
      </c>
      <c r="V22" s="13">
        <f t="shared" si="1"/>
        <v>4186.3839120989496</v>
      </c>
      <c r="W22" s="12">
        <f t="shared" si="2"/>
        <v>332871.18097760057</v>
      </c>
      <c r="X22" s="11">
        <f t="shared" si="4"/>
        <v>8.742707352782574</v>
      </c>
      <c r="AB22" s="1"/>
      <c r="AI22" s="1"/>
      <c r="AK22" s="1"/>
    </row>
    <row r="23" spans="2:37" s="10" customFormat="1" ht="39.950000000000003" customHeight="1">
      <c r="B23" s="24">
        <v>2022</v>
      </c>
      <c r="C23" s="19">
        <v>198625.02991729</v>
      </c>
      <c r="D23" s="19">
        <v>66802.496863602879</v>
      </c>
      <c r="E23" s="23">
        <v>62951.814735709013</v>
      </c>
      <c r="F23" s="19">
        <f t="shared" si="0"/>
        <v>328379.34151660185</v>
      </c>
      <c r="G23" s="22">
        <f t="shared" si="3"/>
        <v>-1.8952292763844136</v>
      </c>
      <c r="H23" s="21">
        <v>2284.8077590000003</v>
      </c>
      <c r="I23" s="19">
        <v>21.651375999999999</v>
      </c>
      <c r="J23" s="19"/>
      <c r="K23" s="19">
        <v>3980.7926220000008</v>
      </c>
      <c r="L23" s="19"/>
      <c r="M23" s="19">
        <v>151.56378000000001</v>
      </c>
      <c r="N23" s="20">
        <f t="shared" si="5"/>
        <v>6438.8155370000013</v>
      </c>
      <c r="O23" s="19">
        <v>126.36958200000001</v>
      </c>
      <c r="P23" s="19">
        <v>3.3987000000000003E-2</v>
      </c>
      <c r="Q23" s="19">
        <v>151.17822000000001</v>
      </c>
      <c r="R23" s="19"/>
      <c r="S23" s="19">
        <v>0</v>
      </c>
      <c r="T23" s="19">
        <v>469.07285431999998</v>
      </c>
      <c r="U23" s="19">
        <v>2966.3081299999999</v>
      </c>
      <c r="V23" s="20">
        <f t="shared" si="1"/>
        <v>3712.96277332</v>
      </c>
      <c r="W23" s="19">
        <f t="shared" si="2"/>
        <v>331105.1942802819</v>
      </c>
      <c r="X23" s="18">
        <f t="shared" si="4"/>
        <v>-0.53053156843803073</v>
      </c>
      <c r="AB23" s="1"/>
      <c r="AI23" s="1"/>
      <c r="AK23" s="1"/>
    </row>
    <row r="24" spans="2:37" s="10" customFormat="1" ht="39.950000000000003" customHeight="1">
      <c r="B24" s="17">
        <v>2023</v>
      </c>
      <c r="C24" s="12">
        <v>199844.76255603298</v>
      </c>
      <c r="D24" s="12">
        <v>64002.447049859002</v>
      </c>
      <c r="E24" s="16">
        <v>67301.685529936716</v>
      </c>
      <c r="F24" s="12">
        <f t="shared" si="0"/>
        <v>331148.89513582864</v>
      </c>
      <c r="G24" s="15">
        <f t="shared" si="3"/>
        <v>0.84340068605892604</v>
      </c>
      <c r="H24" s="14">
        <v>1284.494782</v>
      </c>
      <c r="I24" s="12">
        <v>107.01282100000002</v>
      </c>
      <c r="J24" s="12"/>
      <c r="K24" s="12">
        <v>4702.8554249999997</v>
      </c>
      <c r="L24" s="12">
        <v>5.3910190000000004E-2</v>
      </c>
      <c r="M24" s="12"/>
      <c r="N24" s="13">
        <f t="shared" si="5"/>
        <v>6094.4169381900001</v>
      </c>
      <c r="O24" s="12">
        <v>405.80129399999993</v>
      </c>
      <c r="P24" s="12">
        <v>5.3298000000000005E-2</v>
      </c>
      <c r="Q24" s="12">
        <v>0</v>
      </c>
      <c r="R24" s="12"/>
      <c r="S24" s="12">
        <v>0</v>
      </c>
      <c r="T24" s="12">
        <v>537.31993752000005</v>
      </c>
      <c r="U24" s="12">
        <v>1132.6036060000001</v>
      </c>
      <c r="V24" s="13">
        <f t="shared" si="1"/>
        <v>2075.77813552</v>
      </c>
      <c r="W24" s="12">
        <f t="shared" si="2"/>
        <v>335167.53393849864</v>
      </c>
      <c r="X24" s="11">
        <f t="shared" si="4"/>
        <v>1.2269030291255367</v>
      </c>
      <c r="AB24" s="1"/>
      <c r="AI24" s="1"/>
      <c r="AK24" s="1"/>
    </row>
    <row r="25" spans="2:37" s="10" customFormat="1" ht="39.950000000000003" customHeight="1">
      <c r="B25" s="24">
        <v>2024</v>
      </c>
      <c r="C25" s="19">
        <v>201004.71725420194</v>
      </c>
      <c r="D25" s="19">
        <v>74853.179023312405</v>
      </c>
      <c r="E25" s="23">
        <v>78712.316087896121</v>
      </c>
      <c r="F25" s="19">
        <f t="shared" ref="F25" si="6">SUM(C25:E25)</f>
        <v>354570.21236541047</v>
      </c>
      <c r="G25" s="22">
        <f>+((F25/F24)-1)*100</f>
        <v>7.0727450924983559</v>
      </c>
      <c r="H25" s="21">
        <v>538.26219700000001</v>
      </c>
      <c r="I25" s="19">
        <v>217.54417699999999</v>
      </c>
      <c r="J25" s="19"/>
      <c r="K25" s="19">
        <v>1925.713937</v>
      </c>
      <c r="L25" s="19">
        <v>5.749950999999999E-2</v>
      </c>
      <c r="M25" s="19"/>
      <c r="N25" s="20">
        <f t="shared" ref="N25" si="7">SUM(H25:M25)</f>
        <v>2681.5778105100003</v>
      </c>
      <c r="O25" s="19">
        <v>1041.6639500000001</v>
      </c>
      <c r="P25" s="19">
        <v>2.3400050000000001</v>
      </c>
      <c r="Q25" s="19"/>
      <c r="R25" s="19"/>
      <c r="S25" s="19">
        <v>1152.8052889999999</v>
      </c>
      <c r="T25" s="19">
        <v>764.24421286470704</v>
      </c>
      <c r="U25" s="19">
        <v>710.88897699999995</v>
      </c>
      <c r="V25" s="20">
        <f t="shared" ref="V25" si="8">SUM(O25:U25)</f>
        <v>3671.9424338647073</v>
      </c>
      <c r="W25" s="19">
        <f t="shared" ref="W25" si="9">+F25+N25-V25</f>
        <v>353579.84774205578</v>
      </c>
      <c r="X25" s="18">
        <f>+((W25/W24)-1)*100</f>
        <v>5.4934657862583114</v>
      </c>
      <c r="AB25" s="1"/>
      <c r="AI25" s="1"/>
      <c r="AK25" s="1"/>
    </row>
    <row r="26" spans="2:37" ht="39.950000000000003" customHeight="1">
      <c r="B26" s="90">
        <v>2025</v>
      </c>
      <c r="C26" s="91">
        <v>214910.81495822201</v>
      </c>
      <c r="D26" s="91">
        <v>57440.861571066707</v>
      </c>
      <c r="E26" s="92">
        <v>94568.644725196005</v>
      </c>
      <c r="F26" s="91">
        <f t="shared" si="0"/>
        <v>366920.3212544847</v>
      </c>
      <c r="G26" s="93">
        <f>+((F26/F25)-1)*100</f>
        <v>3.4831208201851371</v>
      </c>
      <c r="H26" s="94">
        <v>406.21473200000003</v>
      </c>
      <c r="I26" s="91">
        <v>343.89699899999999</v>
      </c>
      <c r="J26" s="91"/>
      <c r="K26" s="91">
        <v>1262.8129300000001</v>
      </c>
      <c r="L26" s="91">
        <v>4.2883420000000005E-2</v>
      </c>
      <c r="M26" s="91"/>
      <c r="N26" s="95">
        <f t="shared" si="5"/>
        <v>2012.96754442</v>
      </c>
      <c r="O26" s="91">
        <v>1192.0712000000001</v>
      </c>
      <c r="P26" s="91">
        <v>40.901646999999997</v>
      </c>
      <c r="Q26" s="91"/>
      <c r="R26" s="91"/>
      <c r="S26" s="91">
        <v>1334.633677</v>
      </c>
      <c r="T26" s="91">
        <v>987.11579705673603</v>
      </c>
      <c r="U26" s="91">
        <v>548.559798</v>
      </c>
      <c r="V26" s="95">
        <f t="shared" si="1"/>
        <v>4103.2821190567356</v>
      </c>
      <c r="W26" s="91">
        <f t="shared" si="2"/>
        <v>364830.00667984795</v>
      </c>
      <c r="X26" s="96">
        <f>+((W26/W25)-1)*100</f>
        <v>3.1817873698501753</v>
      </c>
    </row>
    <row r="27" spans="2:37" ht="28.5" customHeight="1">
      <c r="B27" s="9" t="s">
        <v>1</v>
      </c>
      <c r="C27" s="4"/>
      <c r="D27" s="4"/>
      <c r="E27" s="4"/>
      <c r="F27" s="4"/>
      <c r="G27" s="4"/>
      <c r="H27" s="4"/>
      <c r="I27" s="4"/>
      <c r="J27" s="8"/>
      <c r="K27" s="4"/>
      <c r="L27" s="4"/>
      <c r="M27" s="4"/>
      <c r="N27" s="4"/>
      <c r="O27" s="4"/>
      <c r="W27" s="7"/>
    </row>
    <row r="28" spans="2:37" ht="18.75">
      <c r="B28" s="6" t="s">
        <v>0</v>
      </c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W28" s="3"/>
    </row>
  </sheetData>
  <sheetProtection selectLockedCells="1" selectUnlockedCells="1"/>
  <mergeCells count="5">
    <mergeCell ref="B3:X3"/>
    <mergeCell ref="B4:X4"/>
    <mergeCell ref="W6:X6"/>
    <mergeCell ref="W8:X8"/>
    <mergeCell ref="W9:X9"/>
  </mergeCells>
  <printOptions horizontalCentered="1" verticalCentered="1"/>
  <pageMargins left="0.43307086614173229" right="0.39370078740157483" top="0.59055118110236227" bottom="0" header="0.51181102362204722" footer="0"/>
  <pageSetup paperSize="9" scale="40" firstPageNumber="0" orientation="landscape" r:id="rId1"/>
  <headerFooter alignWithMargins="0">
    <oddHeader xml:space="preserve">&amp;C 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48</vt:lpstr>
      <vt:lpstr>'48'!Yazdırma_Alanı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 KESKİNLİ</dc:creator>
  <cp:lastModifiedBy>Recep KESKİNLİ</cp:lastModifiedBy>
  <dcterms:created xsi:type="dcterms:W3CDTF">2026-01-12T11:58:54Z</dcterms:created>
  <dcterms:modified xsi:type="dcterms:W3CDTF">2026-09-23T07:55:22Z</dcterms:modified>
</cp:coreProperties>
</file>